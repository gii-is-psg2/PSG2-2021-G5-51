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fjbel\Desktop\universidad\3º\PSG2\"/>
    </mc:Choice>
  </mc:AlternateContent>
  <xr:revisionPtr revIDLastSave="0" documentId="13_ncr:1_{06AA8E69-4B44-4270-B7E0-42DE74DFACE0}" xr6:coauthVersionLast="47" xr6:coauthVersionMax="47" xr10:uidLastSave="{00000000-0000-0000-0000-000000000000}"/>
  <bookViews>
    <workbookView xWindow="-120" yWindow="-120" windowWidth="20640" windowHeight="11160" tabRatio="500" xr2:uid="{00000000-000D-0000-FFFF-FFFF00000000}"/>
  </bookViews>
  <sheets>
    <sheet name="TCO ROI - BLANK" sheetId="3" r:id="rId1"/>
  </sheets>
  <externalReferences>
    <externalReference r:id="rId2"/>
  </externalReferences>
  <definedNames>
    <definedName name="_xlnm.Print_Area" localSheetId="0">'TCO ROI - BLANK'!$B$1:$H$73</definedName>
    <definedName name="Interval" localSheetId="0">'TCO ROI - BLANK'!#REF!</definedName>
    <definedName name="Interval">#REF!</definedName>
    <definedName name="ScheduleStart" localSheetId="0">'TCO ROI - BLANK'!#REF!</definedName>
    <definedName name="ScheduleStart">#REF!</definedName>
    <definedName name="Type" localSheetId="0">'[1]Maintenance Work Order'!#REF!</definedName>
    <definedName name="Type">'[1]Maintenance Work Order'!#REF!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7" i="3" l="1"/>
  <c r="D17" i="3"/>
  <c r="E17" i="3"/>
  <c r="F15" i="3"/>
  <c r="F16" i="3"/>
  <c r="E23" i="3"/>
  <c r="D23" i="3"/>
  <c r="C23" i="3"/>
  <c r="F22" i="3"/>
  <c r="F23" i="3" s="1"/>
  <c r="E20" i="3"/>
  <c r="D20" i="3"/>
  <c r="C20" i="3"/>
  <c r="F19" i="3"/>
  <c r="F20" i="3" s="1"/>
  <c r="F14" i="3"/>
  <c r="E12" i="3"/>
  <c r="D12" i="3"/>
  <c r="C12" i="3"/>
  <c r="F11" i="3"/>
  <c r="F10" i="3"/>
  <c r="F9" i="3"/>
  <c r="F8" i="3"/>
  <c r="E6" i="3"/>
  <c r="D6" i="3"/>
  <c r="C6" i="3"/>
  <c r="F5" i="3"/>
  <c r="F4" i="3"/>
  <c r="F17" i="3" l="1"/>
  <c r="C25" i="3"/>
  <c r="E25" i="3"/>
  <c r="D25" i="3"/>
  <c r="F6" i="3"/>
  <c r="F12" i="3"/>
  <c r="F25" i="3" l="1"/>
</calcChain>
</file>

<file path=xl/sharedStrings.xml><?xml version="1.0" encoding="utf-8"?>
<sst xmlns="http://schemas.openxmlformats.org/spreadsheetml/2006/main" count="48" uniqueCount="42">
  <si>
    <t>Year 1 (Pilot)</t>
  </si>
  <si>
    <t>Year 2</t>
  </si>
  <si>
    <t>Year 3</t>
  </si>
  <si>
    <t>Peripherals</t>
  </si>
  <si>
    <t>Notes</t>
  </si>
  <si>
    <t>Software Maintenance</t>
  </si>
  <si>
    <t>Software Management</t>
  </si>
  <si>
    <t>DIRECT COSTS</t>
  </si>
  <si>
    <t>TCO LIFE CYCLE</t>
  </si>
  <si>
    <t>NOTES</t>
  </si>
  <si>
    <t>TOTAL DIRECT COSTS</t>
  </si>
  <si>
    <t xml:space="preserve">TOTAL COST OF OWNERSHIP (TCO) </t>
  </si>
  <si>
    <t>Cost to Implement</t>
  </si>
  <si>
    <t>Cost to Operate</t>
  </si>
  <si>
    <t>Costs to Support and Maintain</t>
  </si>
  <si>
    <t>Cost to Decommission</t>
  </si>
  <si>
    <t>API Gmail Pricing</t>
  </si>
  <si>
    <t>API Google Calendar Pricing</t>
  </si>
  <si>
    <t>Data Migration</t>
  </si>
  <si>
    <t>Total Decomission Cost</t>
  </si>
  <si>
    <t>Total Enhance and Extend Cost</t>
  </si>
  <si>
    <t>Costs to Enhance and Extend</t>
  </si>
  <si>
    <t>Total Implement Cost</t>
  </si>
  <si>
    <t>Total Operate Cost</t>
  </si>
  <si>
    <t>Total Support and Maintain Cost</t>
  </si>
  <si>
    <t>Senior SW Engineer PY</t>
  </si>
  <si>
    <t>Junior SW Engineer PY</t>
  </si>
  <si>
    <t>FREE</t>
  </si>
  <si>
    <t xml:space="preserve"> </t>
  </si>
  <si>
    <t>Support Staff Level 1 PY</t>
  </si>
  <si>
    <t>Support Staff Level 2 PY</t>
  </si>
  <si>
    <t>Development Tools Licensing PY</t>
  </si>
  <si>
    <t>Unicamente cuesta 10'50 € cada desarrollado mensualmente</t>
  </si>
  <si>
    <t>3 miembros del equipo cobrando mensualmente 2.500 €</t>
  </si>
  <si>
    <t>2 miembros del equipo cobrando mensualmente 1.800 €</t>
  </si>
  <si>
    <t>Cuota gratuita</t>
  </si>
  <si>
    <t>Mantenimiento software anual</t>
  </si>
  <si>
    <t>Equipo soporte nivel 1</t>
  </si>
  <si>
    <t>Equipo soporte nivel 2</t>
  </si>
  <si>
    <t>Gestión software anual</t>
  </si>
  <si>
    <t>Precio de los perifericos: 5 equipos, un teclado, 5 ratones, 3 auriculares y 2 pantallas</t>
  </si>
  <si>
    <t>Migración de la información e almacenamiento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</si>
</sst>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-409]h:mm\ AM/PM;@"/>
    <numFmt numFmtId="166" formatCode="&quot;$&quot;#,##0.00"/>
    <numFmt numFmtId="167" formatCode="_(&quot;$&quot;* #,##0_);_(&quot;$&quot;* \(#,##0\);_(&quot;$&quot;* &quot;-&quot;??_);_(@_)"/>
  </numFmts>
  <fonts count="1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20"/>
      <color theme="0" tint="-0.499984740745262"/>
      <name val="Century Gothic"/>
      <family val="1"/>
    </font>
    <font>
      <sz val="11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10"/>
      <color theme="0"/>
      <name val="Century Gothic"/>
      <family val="1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Century Gothic"/>
      <family val="1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9"/>
      <name val="Century Gothic"/>
      <family val="1"/>
    </font>
    <font>
      <b/>
      <sz val="9"/>
      <name val="Century Gothic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3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4" borderId="0" xfId="0" applyFont="1" applyFill="1" applyBorder="1" applyAlignment="1">
      <alignment vertical="center"/>
    </xf>
    <xf numFmtId="0" fontId="2" fillId="0" borderId="0" xfId="0" applyFont="1" applyFill="1"/>
    <xf numFmtId="0" fontId="2" fillId="4" borderId="0" xfId="0" applyFont="1" applyFill="1"/>
    <xf numFmtId="0" fontId="2" fillId="4" borderId="0" xfId="0" applyFont="1" applyFill="1" applyBorder="1"/>
    <xf numFmtId="0" fontId="11" fillId="4" borderId="0" xfId="0" applyNumberFormat="1" applyFont="1" applyFill="1" applyBorder="1" applyAlignment="1">
      <alignment horizontal="left" vertical="center" indent="1"/>
    </xf>
    <xf numFmtId="167" fontId="10" fillId="4" borderId="0" xfId="0" applyNumberFormat="1" applyFont="1" applyFill="1" applyBorder="1" applyAlignment="1">
      <alignment horizontal="right" vertical="center" indent="1"/>
    </xf>
    <xf numFmtId="165" fontId="7" fillId="4" borderId="0" xfId="0" applyNumberFormat="1" applyFont="1" applyFill="1" applyBorder="1" applyAlignment="1">
      <alignment horizontal="right" vertical="center" indent="1"/>
    </xf>
    <xf numFmtId="166" fontId="2" fillId="0" borderId="0" xfId="0" applyNumberFormat="1" applyFont="1"/>
    <xf numFmtId="0" fontId="7" fillId="4" borderId="0" xfId="0" applyNumberFormat="1" applyFont="1" applyFill="1" applyBorder="1" applyAlignment="1">
      <alignment horizontal="left" vertical="center" indent="1"/>
    </xf>
    <xf numFmtId="0" fontId="12" fillId="0" borderId="0" xfId="0" applyFont="1" applyAlignment="1">
      <alignment horizontal="center"/>
    </xf>
    <xf numFmtId="9" fontId="13" fillId="0" borderId="0" xfId="1" applyFont="1" applyAlignment="1">
      <alignment horizontal="center"/>
    </xf>
    <xf numFmtId="0" fontId="13" fillId="0" borderId="0" xfId="0" applyFont="1" applyAlignment="1">
      <alignment horizontal="center"/>
    </xf>
    <xf numFmtId="0" fontId="6" fillId="4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/>
    <xf numFmtId="165" fontId="5" fillId="5" borderId="0" xfId="0" applyNumberFormat="1" applyFont="1" applyFill="1" applyBorder="1" applyAlignment="1">
      <alignment horizontal="left" vertical="center" indent="1"/>
    </xf>
    <xf numFmtId="167" fontId="5" fillId="4" borderId="1" xfId="0" applyNumberFormat="1" applyFont="1" applyFill="1" applyBorder="1" applyAlignment="1">
      <alignment horizontal="right" vertical="center" indent="1"/>
    </xf>
    <xf numFmtId="167" fontId="5" fillId="3" borderId="1" xfId="0" applyNumberFormat="1" applyFont="1" applyFill="1" applyBorder="1" applyAlignment="1">
      <alignment horizontal="right" vertical="center" indent="1"/>
    </xf>
    <xf numFmtId="167" fontId="10" fillId="2" borderId="1" xfId="0" applyNumberFormat="1" applyFont="1" applyFill="1" applyBorder="1" applyAlignment="1">
      <alignment horizontal="right" vertical="center" indent="1"/>
    </xf>
    <xf numFmtId="167" fontId="9" fillId="4" borderId="1" xfId="0" applyNumberFormat="1" applyFont="1" applyFill="1" applyBorder="1" applyAlignment="1">
      <alignment horizontal="right" vertical="center" indent="1"/>
    </xf>
    <xf numFmtId="167" fontId="7" fillId="2" borderId="1" xfId="0" applyNumberFormat="1" applyFont="1" applyFill="1" applyBorder="1" applyAlignment="1">
      <alignment horizontal="left" vertical="center" indent="1"/>
    </xf>
    <xf numFmtId="0" fontId="14" fillId="4" borderId="1" xfId="0" applyNumberFormat="1" applyFont="1" applyFill="1" applyBorder="1" applyAlignment="1">
      <alignment horizontal="left" vertical="center" wrapText="1" indent="1"/>
    </xf>
    <xf numFmtId="0" fontId="15" fillId="4" borderId="1" xfId="0" applyNumberFormat="1" applyFont="1" applyFill="1" applyBorder="1" applyAlignment="1">
      <alignment horizontal="left" vertical="center" wrapText="1" indent="1"/>
    </xf>
    <xf numFmtId="165" fontId="5" fillId="6" borderId="0" xfId="0" applyNumberFormat="1" applyFont="1" applyFill="1" applyBorder="1" applyAlignment="1">
      <alignment horizontal="right" vertical="center" indent="1"/>
    </xf>
    <xf numFmtId="165" fontId="7" fillId="6" borderId="0" xfId="0" applyNumberFormat="1" applyFont="1" applyFill="1" applyBorder="1" applyAlignment="1">
      <alignment horizontal="right" vertical="center" indent="1"/>
    </xf>
    <xf numFmtId="165" fontId="8" fillId="6" borderId="0" xfId="0" applyNumberFormat="1" applyFont="1" applyFill="1" applyBorder="1" applyAlignment="1">
      <alignment horizontal="right" vertical="center" indent="1"/>
    </xf>
    <xf numFmtId="0" fontId="6" fillId="7" borderId="0" xfId="0" applyFont="1" applyFill="1" applyBorder="1" applyAlignment="1">
      <alignment horizontal="left" vertical="center" indent="1"/>
    </xf>
    <xf numFmtId="0" fontId="6" fillId="7" borderId="0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indent="1"/>
    </xf>
    <xf numFmtId="167" fontId="5" fillId="0" borderId="1" xfId="0" applyNumberFormat="1" applyFont="1" applyFill="1" applyBorder="1" applyAlignment="1">
      <alignment horizontal="right" vertical="center" indent="1"/>
    </xf>
  </cellXfs>
  <cellStyles count="3">
    <cellStyle name="Normal" xfId="0" builtinId="0"/>
    <cellStyle name="Normal 2" xfId="2" xr:uid="{00000000-0005-0000-0000-000002000000}"/>
    <cellStyle name="Porcentaje" xfId="1" builtinId="5"/>
  </cellStyles>
  <dxfs count="0"/>
  <tableStyles count="0" defaultTableStyle="TableStyleMedium9" defaultPivotStyle="PivotStyleMedium7"/>
  <colors>
    <mruColors>
      <color rgb="FFEAEEF3"/>
      <color rgb="FFEBF2F7"/>
      <color rgb="FFE4EB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  <pageSetUpPr fitToPage="1"/>
  </sheetPr>
  <dimension ref="A1:G75"/>
  <sheetViews>
    <sheetView showGridLines="0" tabSelected="1" topLeftCell="A13" zoomScaleNormal="100" workbookViewId="0">
      <selection activeCell="D26" sqref="D26"/>
    </sheetView>
  </sheetViews>
  <sheetFormatPr baseColWidth="10" defaultColWidth="10.75" defaultRowHeight="15.75" x14ac:dyDescent="0.25"/>
  <cols>
    <col min="1" max="1" width="3.25" style="1" customWidth="1"/>
    <col min="2" max="2" width="50.75" style="1" customWidth="1"/>
    <col min="3" max="6" width="18.75" style="1" customWidth="1"/>
    <col min="7" max="7" width="65.375" style="14" customWidth="1"/>
    <col min="8" max="8" width="31" style="1" customWidth="1"/>
    <col min="9" max="9" width="3.25" style="1" customWidth="1"/>
    <col min="10" max="16384" width="10.75" style="1"/>
  </cols>
  <sheetData>
    <row r="1" spans="1:7" customFormat="1" ht="49.9" customHeight="1" x14ac:dyDescent="0.25">
      <c r="A1" s="1"/>
      <c r="B1" s="3" t="s">
        <v>11</v>
      </c>
      <c r="C1" s="3"/>
      <c r="G1" s="12"/>
    </row>
    <row r="2" spans="1:7" s="2" customFormat="1" ht="19.899999999999999" customHeight="1" x14ac:dyDescent="0.25">
      <c r="B2" s="28" t="s">
        <v>7</v>
      </c>
      <c r="C2" s="29" t="s">
        <v>0</v>
      </c>
      <c r="D2" s="29" t="s">
        <v>1</v>
      </c>
      <c r="E2" s="29" t="s">
        <v>2</v>
      </c>
      <c r="F2" s="29" t="s">
        <v>8</v>
      </c>
      <c r="G2" s="28" t="s">
        <v>9</v>
      </c>
    </row>
    <row r="3" spans="1:7" ht="19.899999999999999" customHeight="1" x14ac:dyDescent="0.2">
      <c r="B3" s="17" t="s">
        <v>12</v>
      </c>
      <c r="C3" s="17"/>
      <c r="D3" s="17"/>
      <c r="E3" s="17"/>
      <c r="F3" s="17"/>
      <c r="G3" s="23"/>
    </row>
    <row r="4" spans="1:7" ht="19.899999999999999" customHeight="1" x14ac:dyDescent="0.2">
      <c r="B4" s="25" t="s">
        <v>25</v>
      </c>
      <c r="C4" s="18">
        <v>90000</v>
      </c>
      <c r="D4" s="18">
        <v>90000</v>
      </c>
      <c r="E4" s="18">
        <v>90000</v>
      </c>
      <c r="F4" s="19">
        <f>SUM(C4:E4)</f>
        <v>270000</v>
      </c>
      <c r="G4" s="23" t="s">
        <v>33</v>
      </c>
    </row>
    <row r="5" spans="1:7" ht="19.899999999999999" customHeight="1" x14ac:dyDescent="0.2">
      <c r="B5" s="25" t="s">
        <v>26</v>
      </c>
      <c r="C5" s="18">
        <v>43000</v>
      </c>
      <c r="D5" s="18">
        <v>43000</v>
      </c>
      <c r="E5" s="18">
        <v>43000</v>
      </c>
      <c r="F5" s="19">
        <f t="shared" ref="F5" si="0">SUM(C5:E5)</f>
        <v>129000</v>
      </c>
      <c r="G5" s="23" t="s">
        <v>34</v>
      </c>
    </row>
    <row r="6" spans="1:7" ht="19.899999999999999" customHeight="1" x14ac:dyDescent="0.2">
      <c r="B6" s="26" t="s">
        <v>22</v>
      </c>
      <c r="C6" s="20">
        <f>SUM(C3:C5)</f>
        <v>133000</v>
      </c>
      <c r="D6" s="20">
        <f>SUM(D3:D5)</f>
        <v>133000</v>
      </c>
      <c r="E6" s="20">
        <f>SUM(E3:E5)</f>
        <v>133000</v>
      </c>
      <c r="F6" s="20">
        <f>SUM(F3:F5)</f>
        <v>399000</v>
      </c>
      <c r="G6" s="23"/>
    </row>
    <row r="7" spans="1:7" ht="19.899999999999999" customHeight="1" x14ac:dyDescent="0.2">
      <c r="B7" s="17" t="s">
        <v>13</v>
      </c>
      <c r="C7" s="17"/>
      <c r="D7" s="17"/>
      <c r="E7" s="17"/>
      <c r="F7" s="17"/>
      <c r="G7" s="23"/>
    </row>
    <row r="8" spans="1:7" ht="19.899999999999999" customHeight="1" x14ac:dyDescent="0.2">
      <c r="B8" s="25" t="s">
        <v>31</v>
      </c>
      <c r="C8" s="18">
        <v>630</v>
      </c>
      <c r="D8" s="18">
        <v>630</v>
      </c>
      <c r="E8" s="18">
        <v>630</v>
      </c>
      <c r="F8" s="19">
        <f>SUM(C8:E8)</f>
        <v>1890</v>
      </c>
      <c r="G8" s="23" t="s">
        <v>32</v>
      </c>
    </row>
    <row r="9" spans="1:7" ht="19.899999999999999" customHeight="1" x14ac:dyDescent="0.2">
      <c r="B9" s="25" t="s">
        <v>16</v>
      </c>
      <c r="C9" s="18" t="s">
        <v>27</v>
      </c>
      <c r="D9" s="18" t="s">
        <v>27</v>
      </c>
      <c r="E9" s="18" t="s">
        <v>27</v>
      </c>
      <c r="F9" s="19">
        <f t="shared" ref="F9:F11" si="1">SUM(C9:E9)</f>
        <v>0</v>
      </c>
      <c r="G9" s="23" t="s">
        <v>35</v>
      </c>
    </row>
    <row r="10" spans="1:7" ht="19.899999999999999" customHeight="1" x14ac:dyDescent="0.2">
      <c r="B10" s="25" t="s">
        <v>17</v>
      </c>
      <c r="C10" s="18" t="s">
        <v>27</v>
      </c>
      <c r="D10" s="18" t="s">
        <v>27</v>
      </c>
      <c r="E10" s="18" t="s">
        <v>27</v>
      </c>
      <c r="F10" s="19">
        <f t="shared" si="1"/>
        <v>0</v>
      </c>
      <c r="G10" s="23" t="s">
        <v>35</v>
      </c>
    </row>
    <row r="11" spans="1:7" ht="19.899999999999999" customHeight="1" x14ac:dyDescent="0.2">
      <c r="B11" s="27" t="s">
        <v>6</v>
      </c>
      <c r="C11" s="21">
        <v>70000</v>
      </c>
      <c r="D11" s="21">
        <v>70000</v>
      </c>
      <c r="E11" s="21">
        <v>70000</v>
      </c>
      <c r="F11" s="19">
        <f t="shared" si="1"/>
        <v>210000</v>
      </c>
      <c r="G11" s="23" t="s">
        <v>39</v>
      </c>
    </row>
    <row r="12" spans="1:7" ht="19.899999999999999" customHeight="1" x14ac:dyDescent="0.2">
      <c r="B12" s="26" t="s">
        <v>23</v>
      </c>
      <c r="C12" s="20">
        <f>SUM(C8:C11)</f>
        <v>70630</v>
      </c>
      <c r="D12" s="20">
        <f>SUM(D8:D11)</f>
        <v>70630</v>
      </c>
      <c r="E12" s="20">
        <f>SUM(E8:E11)</f>
        <v>70630</v>
      </c>
      <c r="F12" s="20">
        <f>SUM(F8:F11)</f>
        <v>211890</v>
      </c>
      <c r="G12" s="23"/>
    </row>
    <row r="13" spans="1:7" s="4" customFormat="1" ht="19.899999999999999" customHeight="1" x14ac:dyDescent="0.2">
      <c r="B13" s="17" t="s">
        <v>14</v>
      </c>
      <c r="C13" s="17"/>
      <c r="D13" s="17"/>
      <c r="E13" s="17"/>
      <c r="F13" s="17"/>
      <c r="G13" s="23"/>
    </row>
    <row r="14" spans="1:7" s="5" customFormat="1" ht="19.899999999999999" customHeight="1" x14ac:dyDescent="0.2">
      <c r="B14" s="25" t="s">
        <v>29</v>
      </c>
      <c r="C14" s="18">
        <v>12000</v>
      </c>
      <c r="D14" s="18">
        <v>12000</v>
      </c>
      <c r="E14" s="18">
        <v>12000</v>
      </c>
      <c r="F14" s="19">
        <f t="shared" ref="F14:F16" si="2">SUM(C14:E14)</f>
        <v>36000</v>
      </c>
      <c r="G14" s="23" t="s">
        <v>37</v>
      </c>
    </row>
    <row r="15" spans="1:7" ht="19.899999999999999" customHeight="1" x14ac:dyDescent="0.2">
      <c r="B15" s="25" t="s">
        <v>30</v>
      </c>
      <c r="C15" s="18">
        <v>24000</v>
      </c>
      <c r="D15" s="18">
        <v>24000</v>
      </c>
      <c r="E15" s="18">
        <v>24000</v>
      </c>
      <c r="F15" s="19">
        <f>SUM(C15:E15)</f>
        <v>72000</v>
      </c>
      <c r="G15" s="23" t="s">
        <v>38</v>
      </c>
    </row>
    <row r="16" spans="1:7" ht="19.899999999999999" customHeight="1" x14ac:dyDescent="0.2">
      <c r="B16" s="25" t="s">
        <v>5</v>
      </c>
      <c r="C16" s="18">
        <v>110000</v>
      </c>
      <c r="D16" s="18">
        <v>110000</v>
      </c>
      <c r="E16" s="18">
        <v>110000</v>
      </c>
      <c r="F16" s="19">
        <f t="shared" si="2"/>
        <v>330000</v>
      </c>
      <c r="G16" s="23" t="s">
        <v>36</v>
      </c>
    </row>
    <row r="17" spans="2:7" ht="19.899999999999999" customHeight="1" x14ac:dyDescent="0.2">
      <c r="B17" s="26" t="s">
        <v>24</v>
      </c>
      <c r="C17" s="20">
        <f>SUM(C13:C16)</f>
        <v>146000</v>
      </c>
      <c r="D17" s="20">
        <f>SUM(D13:D16)</f>
        <v>146000</v>
      </c>
      <c r="E17" s="20">
        <f>SUM(E13:E16)</f>
        <v>146000</v>
      </c>
      <c r="F17" s="20">
        <f>SUM(F13:F15)</f>
        <v>108000</v>
      </c>
      <c r="G17" s="23"/>
    </row>
    <row r="18" spans="2:7" ht="19.899999999999999" customHeight="1" x14ac:dyDescent="0.2">
      <c r="B18" s="17" t="s">
        <v>21</v>
      </c>
      <c r="C18" s="17" t="s">
        <v>28</v>
      </c>
      <c r="D18" s="17"/>
      <c r="E18" s="17"/>
      <c r="F18" s="17"/>
      <c r="G18" s="23"/>
    </row>
    <row r="19" spans="2:7" ht="19.899999999999999" customHeight="1" x14ac:dyDescent="0.2">
      <c r="B19" s="25" t="s">
        <v>3</v>
      </c>
      <c r="C19" s="18">
        <v>5890</v>
      </c>
      <c r="D19" s="18">
        <v>0</v>
      </c>
      <c r="E19" s="18">
        <v>0</v>
      </c>
      <c r="F19" s="19">
        <f>SUM(C19:E19)</f>
        <v>5890</v>
      </c>
      <c r="G19" s="23" t="s">
        <v>40</v>
      </c>
    </row>
    <row r="20" spans="2:7" ht="19.899999999999999" customHeight="1" x14ac:dyDescent="0.2">
      <c r="B20" s="26" t="s">
        <v>20</v>
      </c>
      <c r="C20" s="20">
        <f>SUM(C19)</f>
        <v>5890</v>
      </c>
      <c r="D20" s="20">
        <f>SUM(D19)</f>
        <v>0</v>
      </c>
      <c r="E20" s="20">
        <f>SUM(E19)</f>
        <v>0</v>
      </c>
      <c r="F20" s="20">
        <f>SUM(F19)</f>
        <v>5890</v>
      </c>
      <c r="G20" s="23"/>
    </row>
    <row r="21" spans="2:7" ht="19.899999999999999" customHeight="1" x14ac:dyDescent="0.2">
      <c r="B21" s="17" t="s">
        <v>15</v>
      </c>
      <c r="C21" s="17"/>
      <c r="D21" s="17"/>
      <c r="E21" s="17"/>
      <c r="F21" s="17"/>
      <c r="G21" s="23"/>
    </row>
    <row r="22" spans="2:7" ht="19.899999999999999" customHeight="1" x14ac:dyDescent="0.2">
      <c r="B22" s="25" t="s">
        <v>18</v>
      </c>
      <c r="C22" s="31">
        <v>500</v>
      </c>
      <c r="D22" s="31">
        <v>500</v>
      </c>
      <c r="E22" s="31">
        <v>500</v>
      </c>
      <c r="F22" s="19">
        <f>SUM(C22:E22)</f>
        <v>1500</v>
      </c>
      <c r="G22" s="23" t="s">
        <v>41</v>
      </c>
    </row>
    <row r="23" spans="2:7" s="5" customFormat="1" ht="19.899999999999999" customHeight="1" x14ac:dyDescent="0.2">
      <c r="B23" s="26" t="s">
        <v>19</v>
      </c>
      <c r="C23" s="20">
        <f>SUM(C22)</f>
        <v>500</v>
      </c>
      <c r="D23" s="20">
        <f t="shared" ref="D23:F23" si="3">SUM(D22)</f>
        <v>500</v>
      </c>
      <c r="E23" s="20">
        <f t="shared" si="3"/>
        <v>500</v>
      </c>
      <c r="F23" s="20">
        <f t="shared" si="3"/>
        <v>1500</v>
      </c>
      <c r="G23" s="24"/>
    </row>
    <row r="24" spans="2:7" s="5" customFormat="1" ht="19.899999999999999" customHeight="1" x14ac:dyDescent="0.2">
      <c r="B24" s="9"/>
      <c r="C24" s="8"/>
      <c r="D24" s="8"/>
      <c r="E24" s="8"/>
      <c r="F24" s="8"/>
      <c r="G24" s="7"/>
    </row>
    <row r="25" spans="2:7" s="5" customFormat="1" ht="10.9" customHeight="1" x14ac:dyDescent="0.2">
      <c r="B25" s="30" t="s">
        <v>10</v>
      </c>
      <c r="C25" s="22">
        <f>SUM(C23,C20,C17,C12,C6,)</f>
        <v>356020</v>
      </c>
      <c r="D25" s="22">
        <f>SUM(D23,D20,D17,D12,D6,)</f>
        <v>350130</v>
      </c>
      <c r="E25" s="22">
        <f>SUM(E23,E20,E17,E12,E6,)</f>
        <v>350130</v>
      </c>
      <c r="F25" s="22">
        <f>SUM(C25:E25)</f>
        <v>1056280</v>
      </c>
      <c r="G25" s="11"/>
    </row>
    <row r="26" spans="2:7" ht="34.9" customHeight="1" x14ac:dyDescent="0.25">
      <c r="C26" s="10"/>
      <c r="G26" s="13"/>
    </row>
    <row r="27" spans="2:7" ht="10.9" customHeight="1" x14ac:dyDescent="0.2">
      <c r="G27" s="1"/>
    </row>
    <row r="28" spans="2:7" ht="19.899999999999999" customHeight="1" x14ac:dyDescent="0.2">
      <c r="G28" s="1"/>
    </row>
    <row r="29" spans="2:7" ht="19.899999999999999" customHeight="1" x14ac:dyDescent="0.2">
      <c r="B29" s="4"/>
      <c r="C29" s="4"/>
      <c r="D29" s="4"/>
      <c r="E29" s="4"/>
      <c r="F29" s="4"/>
      <c r="G29" s="4"/>
    </row>
    <row r="30" spans="2:7" s="4" customFormat="1" ht="19.899999999999999" customHeight="1" x14ac:dyDescent="0.2">
      <c r="B30" s="1"/>
      <c r="C30" s="1"/>
      <c r="D30" s="1"/>
      <c r="E30" s="1"/>
      <c r="F30" s="1"/>
      <c r="G30" s="1"/>
    </row>
    <row r="31" spans="2:7" ht="19.899999999999999" customHeight="1" x14ac:dyDescent="0.2">
      <c r="G31" s="1"/>
    </row>
    <row r="32" spans="2:7" ht="19.899999999999999" customHeight="1" x14ac:dyDescent="0.2">
      <c r="G32" s="1"/>
    </row>
    <row r="33" spans="2:7" ht="19.899999999999999" customHeight="1" x14ac:dyDescent="0.2">
      <c r="G33" s="1"/>
    </row>
    <row r="34" spans="2:7" ht="19.899999999999999" customHeight="1" x14ac:dyDescent="0.2">
      <c r="B34" s="5"/>
      <c r="C34" s="5"/>
      <c r="D34" s="5"/>
      <c r="E34" s="5"/>
      <c r="F34" s="5"/>
      <c r="G34" s="5"/>
    </row>
    <row r="35" spans="2:7" s="5" customFormat="1" ht="10.9" customHeight="1" x14ac:dyDescent="0.2">
      <c r="B35" s="1"/>
      <c r="C35" s="1"/>
      <c r="D35" s="1"/>
      <c r="E35" s="1"/>
      <c r="F35" s="1"/>
      <c r="G35" s="1"/>
    </row>
    <row r="36" spans="2:7" ht="19.899999999999999" customHeight="1" x14ac:dyDescent="0.2">
      <c r="G36" s="1"/>
    </row>
    <row r="37" spans="2:7" ht="10.9" customHeight="1" x14ac:dyDescent="0.2">
      <c r="G37" s="1"/>
    </row>
    <row r="38" spans="2:7" ht="19.899999999999999" customHeight="1" x14ac:dyDescent="0.2">
      <c r="G38" s="1"/>
    </row>
    <row r="39" spans="2:7" ht="10.9" customHeight="1" x14ac:dyDescent="0.2">
      <c r="G39" s="1"/>
    </row>
    <row r="40" spans="2:7" ht="34.9" customHeight="1" x14ac:dyDescent="0.2">
      <c r="B40" s="6"/>
      <c r="G40" s="1"/>
    </row>
    <row r="41" spans="2:7" ht="10.9" customHeight="1" x14ac:dyDescent="0.2">
      <c r="B41" s="15" t="s">
        <v>4</v>
      </c>
      <c r="G41" s="1"/>
    </row>
    <row r="42" spans="2:7" ht="19.899999999999999" customHeight="1" x14ac:dyDescent="0.2">
      <c r="B42" s="16"/>
      <c r="G42" s="1"/>
    </row>
    <row r="43" spans="2:7" ht="19.899999999999999" customHeight="1" x14ac:dyDescent="0.2">
      <c r="B43" s="16"/>
      <c r="G43" s="1"/>
    </row>
    <row r="44" spans="2:7" ht="19.899999999999999" customHeight="1" x14ac:dyDescent="0.2">
      <c r="B44" s="16"/>
      <c r="G44" s="1"/>
    </row>
    <row r="45" spans="2:7" ht="19.899999999999999" customHeight="1" x14ac:dyDescent="0.2">
      <c r="B45" s="16"/>
      <c r="G45" s="1"/>
    </row>
    <row r="46" spans="2:7" ht="19.899999999999999" customHeight="1" x14ac:dyDescent="0.2">
      <c r="B46" s="16"/>
      <c r="G46" s="1"/>
    </row>
    <row r="47" spans="2:7" ht="19.899999999999999" customHeight="1" x14ac:dyDescent="0.2">
      <c r="B47" s="16"/>
      <c r="G47" s="1"/>
    </row>
    <row r="48" spans="2:7" ht="19.899999999999999" customHeight="1" x14ac:dyDescent="0.2">
      <c r="B48" s="16"/>
      <c r="G48" s="1"/>
    </row>
    <row r="49" spans="2:7" ht="19.899999999999999" customHeight="1" x14ac:dyDescent="0.2">
      <c r="B49" s="16"/>
      <c r="G49" s="1"/>
    </row>
    <row r="50" spans="2:7" ht="19.899999999999999" customHeight="1" x14ac:dyDescent="0.2">
      <c r="B50" s="16"/>
      <c r="G50" s="1"/>
    </row>
    <row r="51" spans="2:7" ht="19.899999999999999" customHeight="1" x14ac:dyDescent="0.2">
      <c r="B51" s="16"/>
      <c r="G51" s="1"/>
    </row>
    <row r="52" spans="2:7" ht="19.899999999999999" customHeight="1" x14ac:dyDescent="0.2">
      <c r="B52" s="16"/>
      <c r="G52" s="1"/>
    </row>
    <row r="53" spans="2:7" ht="19.899999999999999" customHeight="1" x14ac:dyDescent="0.2">
      <c r="B53" s="16"/>
      <c r="G53" s="1"/>
    </row>
    <row r="54" spans="2:7" ht="19.899999999999999" customHeight="1" x14ac:dyDescent="0.2">
      <c r="G54" s="1"/>
    </row>
    <row r="55" spans="2:7" ht="10.9" customHeight="1" x14ac:dyDescent="0.2">
      <c r="G55" s="1"/>
    </row>
    <row r="56" spans="2:7" ht="19.899999999999999" customHeight="1" x14ac:dyDescent="0.2">
      <c r="G56" s="1"/>
    </row>
    <row r="57" spans="2:7" ht="10.9" customHeight="1" x14ac:dyDescent="0.2">
      <c r="G57" s="1"/>
    </row>
    <row r="58" spans="2:7" ht="19.899999999999999" customHeight="1" x14ac:dyDescent="0.2">
      <c r="G58" s="1"/>
    </row>
    <row r="59" spans="2:7" ht="19.899999999999999" customHeight="1" x14ac:dyDescent="0.2">
      <c r="G59" s="1"/>
    </row>
    <row r="60" spans="2:7" ht="10.9" customHeight="1" x14ac:dyDescent="0.2">
      <c r="G60" s="1"/>
    </row>
    <row r="61" spans="2:7" ht="34.9" customHeight="1" x14ac:dyDescent="0.2">
      <c r="G61" s="1"/>
    </row>
    <row r="62" spans="2:7" ht="10.9" customHeight="1" x14ac:dyDescent="0.2">
      <c r="B62" s="15"/>
      <c r="G62" s="1"/>
    </row>
    <row r="63" spans="2:7" ht="19.899999999999999" customHeight="1" x14ac:dyDescent="0.2">
      <c r="G63" s="1"/>
    </row>
    <row r="64" spans="2:7" ht="19.899999999999999" customHeight="1" x14ac:dyDescent="0.2">
      <c r="G64" s="1"/>
    </row>
    <row r="65" spans="7:7" ht="19.899999999999999" customHeight="1" x14ac:dyDescent="0.2">
      <c r="G65" s="1"/>
    </row>
    <row r="66" spans="7:7" ht="19.899999999999999" customHeight="1" x14ac:dyDescent="0.2">
      <c r="G66" s="1"/>
    </row>
    <row r="67" spans="7:7" ht="19.899999999999999" customHeight="1" x14ac:dyDescent="0.2">
      <c r="G67" s="1"/>
    </row>
    <row r="68" spans="7:7" ht="34.9" customHeight="1" x14ac:dyDescent="0.2">
      <c r="G68" s="1"/>
    </row>
    <row r="69" spans="7:7" ht="10.9" customHeight="1" x14ac:dyDescent="0.2">
      <c r="G69" s="1"/>
    </row>
    <row r="70" spans="7:7" ht="34.9" customHeight="1" x14ac:dyDescent="0.2">
      <c r="G70" s="1"/>
    </row>
    <row r="71" spans="7:7" ht="34.9" customHeight="1" x14ac:dyDescent="0.2">
      <c r="G71" s="1"/>
    </row>
    <row r="72" spans="7:7" ht="10.9" customHeight="1" x14ac:dyDescent="0.2">
      <c r="G72" s="1"/>
    </row>
    <row r="73" spans="7:7" ht="34.9" customHeight="1" x14ac:dyDescent="0.2">
      <c r="G73" s="1"/>
    </row>
    <row r="74" spans="7:7" ht="15" x14ac:dyDescent="0.2">
      <c r="G74" s="1"/>
    </row>
    <row r="75" spans="7:7" ht="15" x14ac:dyDescent="0.2">
      <c r="G75" s="1"/>
    </row>
  </sheetData>
  <pageMargins left="0.3" right="0.3" top="0.3" bottom="0.3" header="0" footer="0"/>
  <pageSetup scale="72" fitToHeight="0" orientation="landscape" r:id="rId1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TCO ROI - BLANK</vt:lpstr>
      <vt:lpstr>'TCO ROI - BLANK'!Área_de_impresión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Francisco Javier Beltran</cp:lastModifiedBy>
  <dcterms:created xsi:type="dcterms:W3CDTF">2016-04-14T06:00:05Z</dcterms:created>
  <dcterms:modified xsi:type="dcterms:W3CDTF">2021-05-30T23:02:45Z</dcterms:modified>
</cp:coreProperties>
</file>